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Teaching materials\Poverty and income distribution\poverty\"/>
    </mc:Choice>
  </mc:AlternateContent>
  <xr:revisionPtr revIDLastSave="0" documentId="13_ncr:1_{A8360C79-A7A9-437B-91E9-011C4FBCAE3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0_1" sheetId="3" r:id="rId1"/>
    <sheet name="inequality" sheetId="8" r:id="rId2"/>
    <sheet name="Sheet1" sheetId="9" r:id="rId3"/>
    <sheet name="P0" sheetId="4" r:id="rId4"/>
    <sheet name="P2" sheetId="7" r:id="rId5"/>
    <sheet name="Sheet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8" l="1"/>
  <c r="L6" i="8"/>
  <c r="L4" i="8"/>
  <c r="L5" i="8"/>
  <c r="L3" i="8"/>
  <c r="D3" i="8"/>
  <c r="F10" i="9"/>
  <c r="F8" i="9"/>
  <c r="F3" i="9"/>
  <c r="F4" i="9"/>
  <c r="F5" i="9"/>
  <c r="F6" i="9"/>
  <c r="F7" i="9"/>
  <c r="F2" i="9"/>
  <c r="E4" i="9"/>
  <c r="E5" i="9"/>
  <c r="E6" i="9"/>
  <c r="E7" i="9"/>
  <c r="E3" i="9"/>
  <c r="D4" i="9"/>
  <c r="D5" i="9"/>
  <c r="D6" i="9" s="1"/>
  <c r="D7" i="9" s="1"/>
  <c r="D3" i="9"/>
  <c r="D2" i="9"/>
  <c r="C3" i="9"/>
  <c r="C4" i="9"/>
  <c r="C5" i="9"/>
  <c r="C6" i="9"/>
  <c r="C7" i="9"/>
  <c r="C2" i="9"/>
  <c r="B8" i="9"/>
  <c r="D7" i="8"/>
  <c r="G10" i="8"/>
  <c r="B9" i="8"/>
  <c r="E3" i="8" s="1"/>
  <c r="B10" i="8"/>
  <c r="M4" i="8" s="1"/>
  <c r="B12" i="8"/>
  <c r="I14" i="7"/>
  <c r="I13" i="7"/>
  <c r="I12" i="7"/>
  <c r="I3" i="7"/>
  <c r="I4" i="7"/>
  <c r="I5" i="7"/>
  <c r="I6" i="7"/>
  <c r="I7" i="7"/>
  <c r="I8" i="7"/>
  <c r="I9" i="7"/>
  <c r="I10" i="7"/>
  <c r="I11" i="7"/>
  <c r="I2" i="7"/>
  <c r="H3" i="7"/>
  <c r="H4" i="7"/>
  <c r="H5" i="7"/>
  <c r="H6" i="7"/>
  <c r="H7" i="7"/>
  <c r="H8" i="7"/>
  <c r="H9" i="7"/>
  <c r="H10" i="7"/>
  <c r="H11" i="7"/>
  <c r="H2" i="7"/>
  <c r="G3" i="7"/>
  <c r="G4" i="7"/>
  <c r="G5" i="7"/>
  <c r="G6" i="7"/>
  <c r="G7" i="7"/>
  <c r="G8" i="7"/>
  <c r="G9" i="7"/>
  <c r="G10" i="7"/>
  <c r="G11" i="7"/>
  <c r="G2" i="7"/>
  <c r="F3" i="7"/>
  <c r="F4" i="7"/>
  <c r="F5" i="7"/>
  <c r="F6" i="7"/>
  <c r="F7" i="7"/>
  <c r="F8" i="7"/>
  <c r="F9" i="7"/>
  <c r="F10" i="7"/>
  <c r="F11" i="7"/>
  <c r="F2" i="7"/>
  <c r="B12" i="7"/>
  <c r="E11" i="7"/>
  <c r="E10" i="7"/>
  <c r="E9" i="7"/>
  <c r="E8" i="7"/>
  <c r="E7" i="7"/>
  <c r="E6" i="7"/>
  <c r="E5" i="7"/>
  <c r="E4" i="7"/>
  <c r="E3" i="7"/>
  <c r="E2" i="7"/>
  <c r="E12" i="7" s="1"/>
  <c r="E14" i="7" s="1"/>
  <c r="B12" i="5"/>
  <c r="E3" i="4"/>
  <c r="E4" i="4"/>
  <c r="E5" i="4"/>
  <c r="E6" i="4"/>
  <c r="E7" i="4"/>
  <c r="E8" i="4"/>
  <c r="E9" i="4"/>
  <c r="E10" i="4"/>
  <c r="E11" i="4"/>
  <c r="E2" i="4"/>
  <c r="H2" i="4"/>
  <c r="B12" i="4"/>
  <c r="E14" i="3"/>
  <c r="B12" i="3"/>
  <c r="E3" i="3"/>
  <c r="E4" i="3"/>
  <c r="E5" i="3"/>
  <c r="E6" i="3"/>
  <c r="E7" i="3"/>
  <c r="E8" i="3"/>
  <c r="E9" i="3"/>
  <c r="E10" i="3"/>
  <c r="E11" i="3"/>
  <c r="E2" i="3"/>
  <c r="E12" i="3" s="1"/>
  <c r="E4" i="8" l="1"/>
  <c r="F4" i="8"/>
  <c r="G3" i="8"/>
  <c r="D6" i="8"/>
  <c r="D5" i="8"/>
  <c r="D4" i="8"/>
  <c r="M3" i="8"/>
  <c r="M7" i="8"/>
  <c r="M6" i="8"/>
  <c r="M5" i="8"/>
  <c r="E12" i="5"/>
  <c r="E14" i="5" s="1"/>
  <c r="E12" i="4"/>
  <c r="E14" i="4" s="1"/>
  <c r="E5" i="8" l="1"/>
  <c r="G4" i="8"/>
  <c r="F5" i="8"/>
  <c r="M10" i="8"/>
  <c r="F6" i="8" l="1"/>
  <c r="G5" i="8"/>
  <c r="E6" i="8"/>
  <c r="E7" i="8" l="1"/>
  <c r="G7" i="8" s="1"/>
  <c r="F7" i="8"/>
  <c r="G6" i="8"/>
  <c r="G8" i="8"/>
</calcChain>
</file>

<file path=xl/sharedStrings.xml><?xml version="1.0" encoding="utf-8"?>
<sst xmlns="http://schemas.openxmlformats.org/spreadsheetml/2006/main" count="55" uniqueCount="30">
  <si>
    <t>indivituals</t>
  </si>
  <si>
    <t>pc income</t>
  </si>
  <si>
    <t>poverty line</t>
  </si>
  <si>
    <t>I(.)=1 if(yi&lt;z),0</t>
  </si>
  <si>
    <t>total obs</t>
  </si>
  <si>
    <t>number of poor</t>
  </si>
  <si>
    <t>Poverty head count</t>
  </si>
  <si>
    <t>annual pc income</t>
  </si>
  <si>
    <t>monthly pc income</t>
  </si>
  <si>
    <t>z-yi</t>
  </si>
  <si>
    <t>Gi=(z-yi).I</t>
  </si>
  <si>
    <t>(Gi/Z)</t>
  </si>
  <si>
    <t>(Gi/Z)^2</t>
  </si>
  <si>
    <t>P2</t>
  </si>
  <si>
    <t>P2%</t>
  </si>
  <si>
    <t>income</t>
  </si>
  <si>
    <t>rank</t>
  </si>
  <si>
    <t>income share</t>
  </si>
  <si>
    <t>theil index</t>
  </si>
  <si>
    <t>gini</t>
  </si>
  <si>
    <t>total</t>
  </si>
  <si>
    <t>cm_inc_share</t>
  </si>
  <si>
    <t>cm_inc_share previous</t>
  </si>
  <si>
    <t>sum</t>
  </si>
  <si>
    <t>Gini</t>
  </si>
  <si>
    <t>yi</t>
  </si>
  <si>
    <t>yi-1</t>
  </si>
  <si>
    <t>yi+yi-1</t>
  </si>
  <si>
    <t>households</t>
  </si>
  <si>
    <t>y-+yi-1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</si>
</sst>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7902B-BD7B-42D3-B5CC-19A554FABB8B}">
  <dimension ref="A1:E14"/>
  <sheetViews>
    <sheetView workbookViewId="0">
      <selection activeCell="F16" sqref="F16"/>
    </sheetView>
  </sheetViews>
  <sheetFormatPr defaultRowHeight="14.5" x14ac:dyDescent="0.35"/>
  <cols>
    <col min="2" max="3" width="9.26953125" bestFit="1" customWidth="1"/>
    <col min="4" max="4" width="17.08984375" bestFit="1" customWidth="1"/>
  </cols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B2">
        <v>1</v>
      </c>
      <c r="C2">
        <v>3</v>
      </c>
      <c r="D2">
        <v>1.9</v>
      </c>
      <c r="E2">
        <f>IF(C2&lt;1.9,1,0)</f>
        <v>0</v>
      </c>
    </row>
    <row r="3" spans="1:5" x14ac:dyDescent="0.35">
      <c r="B3">
        <v>2</v>
      </c>
      <c r="C3">
        <v>2</v>
      </c>
      <c r="D3">
        <v>1.9</v>
      </c>
      <c r="E3">
        <f t="shared" ref="E3:E11" si="0">IF(C3&lt;1.9,1,0)</f>
        <v>0</v>
      </c>
    </row>
    <row r="4" spans="1:5" x14ac:dyDescent="0.35">
      <c r="B4">
        <v>3</v>
      </c>
      <c r="C4">
        <v>1</v>
      </c>
      <c r="D4">
        <v>1.9</v>
      </c>
      <c r="E4">
        <f t="shared" si="0"/>
        <v>1</v>
      </c>
    </row>
    <row r="5" spans="1:5" x14ac:dyDescent="0.35">
      <c r="B5">
        <v>4</v>
      </c>
      <c r="C5">
        <v>1.2</v>
      </c>
      <c r="D5">
        <v>1.9</v>
      </c>
      <c r="E5">
        <f t="shared" si="0"/>
        <v>1</v>
      </c>
    </row>
    <row r="6" spans="1:5" x14ac:dyDescent="0.35">
      <c r="B6">
        <v>5</v>
      </c>
      <c r="C6">
        <v>1.5</v>
      </c>
      <c r="D6">
        <v>1.9</v>
      </c>
      <c r="E6">
        <f t="shared" si="0"/>
        <v>1</v>
      </c>
    </row>
    <row r="7" spans="1:5" x14ac:dyDescent="0.35">
      <c r="B7">
        <v>6</v>
      </c>
      <c r="C7">
        <v>5</v>
      </c>
      <c r="D7">
        <v>1.9</v>
      </c>
      <c r="E7">
        <f t="shared" si="0"/>
        <v>0</v>
      </c>
    </row>
    <row r="8" spans="1:5" x14ac:dyDescent="0.35">
      <c r="B8">
        <v>7</v>
      </c>
      <c r="C8">
        <v>6</v>
      </c>
      <c r="D8">
        <v>1.9</v>
      </c>
      <c r="E8">
        <f t="shared" si="0"/>
        <v>0</v>
      </c>
    </row>
    <row r="9" spans="1:5" x14ac:dyDescent="0.35">
      <c r="B9">
        <v>8</v>
      </c>
      <c r="C9">
        <v>4</v>
      </c>
      <c r="D9">
        <v>1.9</v>
      </c>
      <c r="E9">
        <f t="shared" si="0"/>
        <v>0</v>
      </c>
    </row>
    <row r="10" spans="1:5" x14ac:dyDescent="0.35">
      <c r="B10">
        <v>9</v>
      </c>
      <c r="C10">
        <v>1</v>
      </c>
      <c r="D10">
        <v>1.9</v>
      </c>
      <c r="E10">
        <f t="shared" si="0"/>
        <v>1</v>
      </c>
    </row>
    <row r="11" spans="1:5" x14ac:dyDescent="0.35">
      <c r="B11">
        <v>10</v>
      </c>
      <c r="C11">
        <v>7</v>
      </c>
      <c r="D11">
        <v>1.9</v>
      </c>
      <c r="E11">
        <f t="shared" si="0"/>
        <v>0</v>
      </c>
    </row>
    <row r="12" spans="1:5" x14ac:dyDescent="0.35">
      <c r="A12" t="s">
        <v>4</v>
      </c>
      <c r="B12">
        <f>COUNT(B2:B11)</f>
        <v>10</v>
      </c>
      <c r="D12" t="s">
        <v>5</v>
      </c>
      <c r="E12">
        <f>SUM(E2:E11)</f>
        <v>4</v>
      </c>
    </row>
    <row r="14" spans="1:5" x14ac:dyDescent="0.35">
      <c r="D14" t="s">
        <v>6</v>
      </c>
      <c r="E14">
        <f>(E12/B12)*100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E3208-4123-45E4-9579-0F9540E65457}">
  <dimension ref="A1:M12"/>
  <sheetViews>
    <sheetView tabSelected="1" workbookViewId="0">
      <selection activeCell="N11" sqref="N11"/>
    </sheetView>
  </sheetViews>
  <sheetFormatPr defaultRowHeight="14.5" x14ac:dyDescent="0.35"/>
  <cols>
    <col min="3" max="3" width="4.54296875" bestFit="1" customWidth="1"/>
    <col min="4" max="4" width="12" bestFit="1" customWidth="1"/>
    <col min="5" max="5" width="12.26953125" bestFit="1" customWidth="1"/>
    <col min="6" max="6" width="20.08984375" bestFit="1" customWidth="1"/>
    <col min="7" max="7" width="6.36328125" bestFit="1" customWidth="1"/>
    <col min="8" max="11" width="4.54296875" customWidth="1"/>
    <col min="12" max="12" width="12" bestFit="1" customWidth="1"/>
  </cols>
  <sheetData>
    <row r="1" spans="1:13" x14ac:dyDescent="0.35">
      <c r="A1" s="3"/>
      <c r="B1" s="3" t="s">
        <v>15</v>
      </c>
      <c r="C1" s="3" t="s">
        <v>16</v>
      </c>
      <c r="D1" s="3" t="s">
        <v>17</v>
      </c>
      <c r="E1" s="3" t="s">
        <v>21</v>
      </c>
      <c r="F1" s="3" t="s">
        <v>22</v>
      </c>
      <c r="G1" s="3" t="s">
        <v>23</v>
      </c>
      <c r="L1" s="2" t="s">
        <v>17</v>
      </c>
      <c r="M1" s="2"/>
    </row>
    <row r="2" spans="1:13" x14ac:dyDescent="0.35">
      <c r="A2" s="3"/>
      <c r="B2" s="3"/>
      <c r="C2" s="3"/>
      <c r="D2" s="3"/>
      <c r="E2" s="4" t="s">
        <v>25</v>
      </c>
      <c r="F2" s="4" t="s">
        <v>26</v>
      </c>
      <c r="G2" s="3" t="s">
        <v>27</v>
      </c>
      <c r="L2" s="2"/>
      <c r="M2" s="2"/>
    </row>
    <row r="3" spans="1:13" x14ac:dyDescent="0.35">
      <c r="A3" s="3">
        <v>100</v>
      </c>
      <c r="B3" s="3">
        <v>10</v>
      </c>
      <c r="C3" s="3">
        <v>1</v>
      </c>
      <c r="D3" s="5">
        <f>B3/$B$9</f>
        <v>0.05</v>
      </c>
      <c r="E3" s="5">
        <f>D3</f>
        <v>0.05</v>
      </c>
      <c r="F3" s="3">
        <v>0</v>
      </c>
      <c r="G3" s="5">
        <f>E3+F3</f>
        <v>0.05</v>
      </c>
      <c r="L3" s="2">
        <f>$B$10/B3</f>
        <v>4</v>
      </c>
      <c r="M3" s="2">
        <f>L3*LN(L3)</f>
        <v>5.5451774444795623</v>
      </c>
    </row>
    <row r="4" spans="1:13" x14ac:dyDescent="0.35">
      <c r="A4" s="3">
        <v>10</v>
      </c>
      <c r="B4" s="3">
        <v>20</v>
      </c>
      <c r="C4" s="3">
        <v>2</v>
      </c>
      <c r="D4" s="5">
        <f>B4/$B$9</f>
        <v>0.1</v>
      </c>
      <c r="E4" s="5">
        <f>E3+D4</f>
        <v>0.15000000000000002</v>
      </c>
      <c r="F4" s="5">
        <f>E3</f>
        <v>0.05</v>
      </c>
      <c r="G4" s="5">
        <f t="shared" ref="G4:G7" si="0">E4+F4</f>
        <v>0.2</v>
      </c>
      <c r="L4" s="2">
        <f t="shared" ref="L4:L7" si="1">$B$10/B4</f>
        <v>2</v>
      </c>
      <c r="M4" s="2">
        <f t="shared" ref="M4:M7" si="2">L4*LN(L4)</f>
        <v>1.3862943611198906</v>
      </c>
    </row>
    <row r="5" spans="1:13" x14ac:dyDescent="0.35">
      <c r="A5" s="3">
        <v>40</v>
      </c>
      <c r="B5" s="3">
        <v>30</v>
      </c>
      <c r="C5" s="3">
        <v>3</v>
      </c>
      <c r="D5" s="5">
        <f>B5/$B$9</f>
        <v>0.15</v>
      </c>
      <c r="E5" s="5">
        <f>E4+D5</f>
        <v>0.30000000000000004</v>
      </c>
      <c r="F5" s="5">
        <f t="shared" ref="F5:F7" si="3">E4</f>
        <v>0.15000000000000002</v>
      </c>
      <c r="G5" s="5">
        <f t="shared" si="0"/>
        <v>0.45000000000000007</v>
      </c>
      <c r="L5" s="2">
        <f t="shared" si="1"/>
        <v>1.3333333333333333</v>
      </c>
      <c r="M5" s="2">
        <f t="shared" si="2"/>
        <v>0.38357609660237446</v>
      </c>
    </row>
    <row r="6" spans="1:13" x14ac:dyDescent="0.35">
      <c r="A6" s="3">
        <v>20</v>
      </c>
      <c r="B6" s="3">
        <v>40</v>
      </c>
      <c r="C6" s="3">
        <v>4</v>
      </c>
      <c r="D6" s="5">
        <f>B6/$B$9</f>
        <v>0.2</v>
      </c>
      <c r="E6" s="5">
        <f t="shared" ref="E6" si="4">E5+D6</f>
        <v>0.5</v>
      </c>
      <c r="F6" s="5">
        <f t="shared" si="3"/>
        <v>0.30000000000000004</v>
      </c>
      <c r="G6" s="5">
        <f t="shared" si="0"/>
        <v>0.8</v>
      </c>
      <c r="L6" s="2">
        <f>$B$10/B6</f>
        <v>1</v>
      </c>
      <c r="M6" s="2">
        <f t="shared" si="2"/>
        <v>0</v>
      </c>
    </row>
    <row r="7" spans="1:13" x14ac:dyDescent="0.35">
      <c r="A7" s="3">
        <v>30</v>
      </c>
      <c r="B7" s="3">
        <v>100</v>
      </c>
      <c r="C7" s="3">
        <v>5</v>
      </c>
      <c r="D7" s="5">
        <f>B7/$B$9</f>
        <v>0.5</v>
      </c>
      <c r="E7" s="5">
        <f>E6+D7</f>
        <v>1</v>
      </c>
      <c r="F7" s="5">
        <f t="shared" si="3"/>
        <v>0.5</v>
      </c>
      <c r="G7" s="5">
        <f t="shared" si="0"/>
        <v>1.5</v>
      </c>
      <c r="L7" s="2">
        <f>$B$10/B7</f>
        <v>0.4</v>
      </c>
      <c r="M7" s="2">
        <f t="shared" si="2"/>
        <v>-0.36651629274966202</v>
      </c>
    </row>
    <row r="8" spans="1:13" x14ac:dyDescent="0.35">
      <c r="A8" s="3"/>
      <c r="B8" s="3"/>
      <c r="C8" s="3"/>
      <c r="D8" s="5"/>
      <c r="E8" s="5"/>
      <c r="F8" s="3"/>
      <c r="G8" s="5">
        <f>SUM(G3:G7)</f>
        <v>3</v>
      </c>
      <c r="L8" s="2"/>
      <c r="M8" s="2"/>
    </row>
    <row r="9" spans="1:13" x14ac:dyDescent="0.35">
      <c r="A9" s="3" t="s">
        <v>20</v>
      </c>
      <c r="B9" s="3">
        <f>SUM(B3:B8)</f>
        <v>200</v>
      </c>
      <c r="C9" s="3"/>
      <c r="D9" s="5"/>
      <c r="E9" s="3"/>
      <c r="F9" s="3"/>
      <c r="G9" s="3"/>
      <c r="L9" s="2"/>
      <c r="M9" s="2"/>
    </row>
    <row r="10" spans="1:13" x14ac:dyDescent="0.35">
      <c r="A10" s="3"/>
      <c r="B10" s="3">
        <f>AVERAGE(B3:B7)</f>
        <v>40</v>
      </c>
      <c r="C10" s="3"/>
      <c r="D10" s="3"/>
      <c r="E10" s="3"/>
      <c r="F10" s="3" t="s">
        <v>24</v>
      </c>
      <c r="G10" s="3">
        <f>1-(1/COUNT(B3:B7))*(G8)</f>
        <v>0.39999999999999991</v>
      </c>
      <c r="L10" s="2" t="s">
        <v>18</v>
      </c>
      <c r="M10" s="2">
        <f>AVERAGE(M3:M7)</f>
        <v>1.3897063218904333</v>
      </c>
    </row>
    <row r="11" spans="1:13" x14ac:dyDescent="0.35">
      <c r="A11" s="3"/>
      <c r="B11" s="3"/>
      <c r="C11" s="3"/>
      <c r="D11" s="3"/>
      <c r="E11" s="3"/>
      <c r="F11" s="3"/>
      <c r="G11" s="3"/>
    </row>
    <row r="12" spans="1:13" x14ac:dyDescent="0.35">
      <c r="A12" s="3" t="s">
        <v>19</v>
      </c>
      <c r="B12" s="3">
        <f>(2*SUMPRODUCT(C3:C7,B3:B7))/(COUNT(B3:B7)*SUM(B3:B7))-(COUNT(B3:B7)+1)/COUNT(B3:B7)</f>
        <v>0.40000000000000013</v>
      </c>
      <c r="C12" s="3"/>
      <c r="D12" s="3"/>
      <c r="E12" s="3"/>
      <c r="F12" s="3"/>
      <c r="G1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F1DD-435E-429E-A195-A09EBBA97DB4}">
  <dimension ref="A1:F10"/>
  <sheetViews>
    <sheetView workbookViewId="0">
      <selection activeCell="F11" sqref="F11"/>
    </sheetView>
  </sheetViews>
  <sheetFormatPr defaultRowHeight="14.5" x14ac:dyDescent="0.35"/>
  <cols>
    <col min="1" max="1" width="10.453125" bestFit="1" customWidth="1"/>
    <col min="3" max="3" width="12" bestFit="1" customWidth="1"/>
  </cols>
  <sheetData>
    <row r="1" spans="1:6" x14ac:dyDescent="0.35">
      <c r="A1" t="s">
        <v>28</v>
      </c>
      <c r="B1" t="s">
        <v>15</v>
      </c>
      <c r="C1" t="s">
        <v>17</v>
      </c>
      <c r="D1" t="s">
        <v>25</v>
      </c>
      <c r="E1" t="s">
        <v>26</v>
      </c>
      <c r="F1" t="s">
        <v>29</v>
      </c>
    </row>
    <row r="2" spans="1:6" x14ac:dyDescent="0.35">
      <c r="A2">
        <v>1</v>
      </c>
      <c r="B2">
        <v>3</v>
      </c>
      <c r="C2">
        <f>B2/$B$8</f>
        <v>5.1724137931034482E-2</v>
      </c>
      <c r="D2">
        <f>C2</f>
        <v>5.1724137931034482E-2</v>
      </c>
      <c r="E2">
        <v>0</v>
      </c>
      <c r="F2">
        <f>D2+E2</f>
        <v>5.1724137931034482E-2</v>
      </c>
    </row>
    <row r="3" spans="1:6" x14ac:dyDescent="0.35">
      <c r="A3">
        <v>3</v>
      </c>
      <c r="B3">
        <v>4</v>
      </c>
      <c r="C3">
        <f t="shared" ref="C3:C7" si="0">B3/$B$8</f>
        <v>6.8965517241379309E-2</v>
      </c>
      <c r="D3">
        <f>D2+C3</f>
        <v>0.12068965517241378</v>
      </c>
      <c r="E3">
        <f>D2</f>
        <v>5.1724137931034482E-2</v>
      </c>
      <c r="F3">
        <f t="shared" ref="F3:F7" si="1">D3+E3</f>
        <v>0.17241379310344826</v>
      </c>
    </row>
    <row r="4" spans="1:6" x14ac:dyDescent="0.35">
      <c r="A4">
        <v>5</v>
      </c>
      <c r="B4">
        <v>7</v>
      </c>
      <c r="C4">
        <f t="shared" si="0"/>
        <v>0.1206896551724138</v>
      </c>
      <c r="D4">
        <f t="shared" ref="D4:D7" si="2">D3+C4</f>
        <v>0.24137931034482757</v>
      </c>
      <c r="E4">
        <f t="shared" ref="E4:E7" si="3">D3</f>
        <v>0.12068965517241378</v>
      </c>
      <c r="F4">
        <f t="shared" si="1"/>
        <v>0.36206896551724133</v>
      </c>
    </row>
    <row r="5" spans="1:6" x14ac:dyDescent="0.35">
      <c r="A5">
        <v>2</v>
      </c>
      <c r="B5">
        <v>9</v>
      </c>
      <c r="C5">
        <f t="shared" si="0"/>
        <v>0.15517241379310345</v>
      </c>
      <c r="D5">
        <f t="shared" si="2"/>
        <v>0.39655172413793105</v>
      </c>
      <c r="E5">
        <f t="shared" si="3"/>
        <v>0.24137931034482757</v>
      </c>
      <c r="F5">
        <f t="shared" si="1"/>
        <v>0.63793103448275867</v>
      </c>
    </row>
    <row r="6" spans="1:6" x14ac:dyDescent="0.35">
      <c r="A6">
        <v>4</v>
      </c>
      <c r="B6">
        <v>15</v>
      </c>
      <c r="C6">
        <f t="shared" si="0"/>
        <v>0.25862068965517243</v>
      </c>
      <c r="D6">
        <f t="shared" si="2"/>
        <v>0.65517241379310343</v>
      </c>
      <c r="E6">
        <f t="shared" si="3"/>
        <v>0.39655172413793105</v>
      </c>
      <c r="F6">
        <f t="shared" si="1"/>
        <v>1.0517241379310345</v>
      </c>
    </row>
    <row r="7" spans="1:6" x14ac:dyDescent="0.35">
      <c r="A7">
        <v>6</v>
      </c>
      <c r="B7">
        <v>20</v>
      </c>
      <c r="C7">
        <f t="shared" si="0"/>
        <v>0.34482758620689657</v>
      </c>
      <c r="D7">
        <f t="shared" si="2"/>
        <v>1</v>
      </c>
      <c r="E7">
        <f t="shared" si="3"/>
        <v>0.65517241379310343</v>
      </c>
      <c r="F7">
        <f t="shared" si="1"/>
        <v>1.6551724137931034</v>
      </c>
    </row>
    <row r="8" spans="1:6" x14ac:dyDescent="0.35">
      <c r="B8">
        <f>SUM(B2:B7)</f>
        <v>58</v>
      </c>
      <c r="F8">
        <f>SUM(F2:F7)</f>
        <v>3.9310344827586201</v>
      </c>
    </row>
    <row r="10" spans="1:6" x14ac:dyDescent="0.35">
      <c r="E10" t="s">
        <v>19</v>
      </c>
      <c r="F10">
        <f>1-(1/6)*F8</f>
        <v>0.34482758620689669</v>
      </c>
    </row>
  </sheetData>
  <sortState xmlns:xlrd2="http://schemas.microsoft.com/office/spreadsheetml/2017/richdata2" ref="A2:B7">
    <sortCondition ref="B2:B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7DEC-BC1B-417B-811F-5C1C90EDFF18}">
  <dimension ref="A1:H14"/>
  <sheetViews>
    <sheetView workbookViewId="0">
      <selection sqref="A1:XFD1048576"/>
    </sheetView>
  </sheetViews>
  <sheetFormatPr defaultRowHeight="14.5" x14ac:dyDescent="0.35"/>
  <cols>
    <col min="2" max="3" width="9.26953125" bestFit="1" customWidth="1"/>
    <col min="4" max="4" width="17.08984375" bestFit="1" customWidth="1"/>
  </cols>
  <sheetData>
    <row r="1" spans="1:8" x14ac:dyDescent="0.35">
      <c r="B1" t="s">
        <v>0</v>
      </c>
      <c r="C1" t="s">
        <v>7</v>
      </c>
      <c r="D1" t="s">
        <v>2</v>
      </c>
      <c r="E1" t="s">
        <v>3</v>
      </c>
    </row>
    <row r="2" spans="1:8" x14ac:dyDescent="0.35">
      <c r="B2">
        <v>1</v>
      </c>
      <c r="C2">
        <v>1000</v>
      </c>
      <c r="D2">
        <v>1.9</v>
      </c>
      <c r="E2">
        <f>IF(C2&lt;693.5,1,0)</f>
        <v>0</v>
      </c>
      <c r="H2">
        <f>1.9*365</f>
        <v>693.5</v>
      </c>
    </row>
    <row r="3" spans="1:8" x14ac:dyDescent="0.35">
      <c r="B3">
        <v>2</v>
      </c>
      <c r="C3">
        <v>1500</v>
      </c>
      <c r="D3">
        <v>1.9</v>
      </c>
      <c r="E3">
        <f t="shared" ref="E3:E11" si="0">IF(C3&lt;693.5,1,0)</f>
        <v>0</v>
      </c>
    </row>
    <row r="4" spans="1:8" x14ac:dyDescent="0.35">
      <c r="B4">
        <v>3</v>
      </c>
      <c r="C4">
        <v>1400</v>
      </c>
      <c r="D4">
        <v>1.9</v>
      </c>
      <c r="E4">
        <f t="shared" si="0"/>
        <v>0</v>
      </c>
    </row>
    <row r="5" spans="1:8" x14ac:dyDescent="0.35">
      <c r="B5">
        <v>4</v>
      </c>
      <c r="C5">
        <v>800</v>
      </c>
      <c r="D5">
        <v>1.9</v>
      </c>
      <c r="E5">
        <f t="shared" si="0"/>
        <v>0</v>
      </c>
    </row>
    <row r="6" spans="1:8" x14ac:dyDescent="0.35">
      <c r="B6">
        <v>5</v>
      </c>
      <c r="C6">
        <v>600</v>
      </c>
      <c r="D6">
        <v>1.9</v>
      </c>
      <c r="E6">
        <f t="shared" si="0"/>
        <v>1</v>
      </c>
    </row>
    <row r="7" spans="1:8" x14ac:dyDescent="0.35">
      <c r="B7">
        <v>6</v>
      </c>
      <c r="C7">
        <v>1800</v>
      </c>
      <c r="D7">
        <v>1.9</v>
      </c>
      <c r="E7">
        <f t="shared" si="0"/>
        <v>0</v>
      </c>
    </row>
    <row r="8" spans="1:8" x14ac:dyDescent="0.35">
      <c r="B8">
        <v>7</v>
      </c>
      <c r="C8">
        <v>400</v>
      </c>
      <c r="D8">
        <v>1.9</v>
      </c>
      <c r="E8">
        <f t="shared" si="0"/>
        <v>1</v>
      </c>
    </row>
    <row r="9" spans="1:8" x14ac:dyDescent="0.35">
      <c r="B9">
        <v>8</v>
      </c>
      <c r="C9">
        <v>5000</v>
      </c>
      <c r="D9">
        <v>1.9</v>
      </c>
      <c r="E9">
        <f t="shared" si="0"/>
        <v>0</v>
      </c>
    </row>
    <row r="10" spans="1:8" x14ac:dyDescent="0.35">
      <c r="B10">
        <v>9</v>
      </c>
      <c r="C10">
        <v>1100</v>
      </c>
      <c r="D10">
        <v>1.9</v>
      </c>
      <c r="E10">
        <f t="shared" si="0"/>
        <v>0</v>
      </c>
    </row>
    <row r="11" spans="1:8" x14ac:dyDescent="0.35">
      <c r="B11">
        <v>10</v>
      </c>
      <c r="C11">
        <v>550</v>
      </c>
      <c r="D11">
        <v>1.9</v>
      </c>
      <c r="E11">
        <f t="shared" si="0"/>
        <v>1</v>
      </c>
    </row>
    <row r="12" spans="1:8" x14ac:dyDescent="0.35">
      <c r="A12" t="s">
        <v>4</v>
      </c>
      <c r="B12">
        <f>COUNT(B2:B11)</f>
        <v>10</v>
      </c>
      <c r="D12" t="s">
        <v>5</v>
      </c>
      <c r="E12">
        <f>SUM(E2:E11)</f>
        <v>3</v>
      </c>
    </row>
    <row r="14" spans="1:8" x14ac:dyDescent="0.35">
      <c r="D14" t="s">
        <v>6</v>
      </c>
      <c r="E14">
        <f>(E12/B12)*100</f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0266-5D9C-4A11-8863-1F92DDBB5E63}">
  <dimension ref="A1:I14"/>
  <sheetViews>
    <sheetView workbookViewId="0">
      <selection activeCell="I15" sqref="I15"/>
    </sheetView>
  </sheetViews>
  <sheetFormatPr defaultRowHeight="14.5" x14ac:dyDescent="0.35"/>
  <cols>
    <col min="2" max="3" width="9.26953125" bestFit="1" customWidth="1"/>
    <col min="4" max="4" width="17.08984375" bestFit="1" customWidth="1"/>
    <col min="5" max="5" width="12.6328125" bestFit="1" customWidth="1"/>
  </cols>
  <sheetData>
    <row r="1" spans="1: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x14ac:dyDescent="0.35">
      <c r="B2">
        <v>1</v>
      </c>
      <c r="C2">
        <v>3</v>
      </c>
      <c r="D2">
        <v>1.9</v>
      </c>
      <c r="E2">
        <f>IF(C2&lt;1.9,1,0)</f>
        <v>0</v>
      </c>
      <c r="F2">
        <f>D2-C2</f>
        <v>-1.1000000000000001</v>
      </c>
      <c r="G2">
        <f>F2*E2</f>
        <v>0</v>
      </c>
      <c r="H2">
        <f>G2/D2</f>
        <v>0</v>
      </c>
      <c r="I2">
        <f>H2^2</f>
        <v>0</v>
      </c>
    </row>
    <row r="3" spans="1:9" x14ac:dyDescent="0.35">
      <c r="B3">
        <v>2</v>
      </c>
      <c r="C3">
        <v>2</v>
      </c>
      <c r="D3">
        <v>1.9</v>
      </c>
      <c r="E3">
        <f t="shared" ref="E3:E11" si="0">IF(C3&lt;1.9,1,0)</f>
        <v>0</v>
      </c>
      <c r="F3">
        <f t="shared" ref="F3:F11" si="1">D3-C3</f>
        <v>-0.10000000000000009</v>
      </c>
      <c r="G3">
        <f t="shared" ref="G3:G11" si="2">F3*E3</f>
        <v>0</v>
      </c>
      <c r="H3">
        <f t="shared" ref="H3:H11" si="3">G3/D3</f>
        <v>0</v>
      </c>
      <c r="I3">
        <f t="shared" ref="I3:I11" si="4">H3^2</f>
        <v>0</v>
      </c>
    </row>
    <row r="4" spans="1:9" x14ac:dyDescent="0.35">
      <c r="B4">
        <v>3</v>
      </c>
      <c r="C4">
        <v>1</v>
      </c>
      <c r="D4">
        <v>1.9</v>
      </c>
      <c r="E4">
        <f t="shared" si="0"/>
        <v>1</v>
      </c>
      <c r="F4">
        <f t="shared" si="1"/>
        <v>0.89999999999999991</v>
      </c>
      <c r="G4">
        <f t="shared" si="2"/>
        <v>0.89999999999999991</v>
      </c>
      <c r="H4">
        <f t="shared" si="3"/>
        <v>0.47368421052631576</v>
      </c>
      <c r="I4">
        <f t="shared" si="4"/>
        <v>0.22437673130193903</v>
      </c>
    </row>
    <row r="5" spans="1:9" x14ac:dyDescent="0.35">
      <c r="B5">
        <v>4</v>
      </c>
      <c r="C5">
        <v>1.2</v>
      </c>
      <c r="D5">
        <v>1.9</v>
      </c>
      <c r="E5">
        <f t="shared" si="0"/>
        <v>1</v>
      </c>
      <c r="F5">
        <f t="shared" si="1"/>
        <v>0.7</v>
      </c>
      <c r="G5">
        <f t="shared" si="2"/>
        <v>0.7</v>
      </c>
      <c r="H5">
        <f t="shared" si="3"/>
        <v>0.36842105263157893</v>
      </c>
      <c r="I5">
        <f t="shared" si="4"/>
        <v>0.13573407202216065</v>
      </c>
    </row>
    <row r="6" spans="1:9" x14ac:dyDescent="0.35">
      <c r="B6">
        <v>5</v>
      </c>
      <c r="C6">
        <v>1.5</v>
      </c>
      <c r="D6">
        <v>1.9</v>
      </c>
      <c r="E6">
        <f t="shared" si="0"/>
        <v>1</v>
      </c>
      <c r="F6">
        <f t="shared" si="1"/>
        <v>0.39999999999999991</v>
      </c>
      <c r="G6">
        <f t="shared" si="2"/>
        <v>0.39999999999999991</v>
      </c>
      <c r="H6">
        <f t="shared" si="3"/>
        <v>0.21052631578947364</v>
      </c>
      <c r="I6">
        <f t="shared" si="4"/>
        <v>4.4321329639889183E-2</v>
      </c>
    </row>
    <row r="7" spans="1:9" x14ac:dyDescent="0.35">
      <c r="B7">
        <v>6</v>
      </c>
      <c r="C7">
        <v>5</v>
      </c>
      <c r="D7">
        <v>1.9</v>
      </c>
      <c r="E7">
        <f t="shared" si="0"/>
        <v>0</v>
      </c>
      <c r="F7">
        <f t="shared" si="1"/>
        <v>-3.1</v>
      </c>
      <c r="G7">
        <f t="shared" si="2"/>
        <v>0</v>
      </c>
      <c r="H7">
        <f t="shared" si="3"/>
        <v>0</v>
      </c>
      <c r="I7">
        <f t="shared" si="4"/>
        <v>0</v>
      </c>
    </row>
    <row r="8" spans="1:9" x14ac:dyDescent="0.35">
      <c r="B8">
        <v>7</v>
      </c>
      <c r="C8">
        <v>6</v>
      </c>
      <c r="D8">
        <v>1.9</v>
      </c>
      <c r="E8">
        <f t="shared" si="0"/>
        <v>0</v>
      </c>
      <c r="F8">
        <f t="shared" si="1"/>
        <v>-4.0999999999999996</v>
      </c>
      <c r="G8">
        <f t="shared" si="2"/>
        <v>0</v>
      </c>
      <c r="H8">
        <f t="shared" si="3"/>
        <v>0</v>
      </c>
      <c r="I8">
        <f t="shared" si="4"/>
        <v>0</v>
      </c>
    </row>
    <row r="9" spans="1:9" x14ac:dyDescent="0.35">
      <c r="B9">
        <v>8</v>
      </c>
      <c r="C9">
        <v>4</v>
      </c>
      <c r="D9">
        <v>1.9</v>
      </c>
      <c r="E9">
        <f t="shared" si="0"/>
        <v>0</v>
      </c>
      <c r="F9">
        <f t="shared" si="1"/>
        <v>-2.1</v>
      </c>
      <c r="G9">
        <f t="shared" si="2"/>
        <v>0</v>
      </c>
      <c r="H9">
        <f t="shared" si="3"/>
        <v>0</v>
      </c>
      <c r="I9">
        <f t="shared" si="4"/>
        <v>0</v>
      </c>
    </row>
    <row r="10" spans="1:9" x14ac:dyDescent="0.35">
      <c r="B10">
        <v>9</v>
      </c>
      <c r="C10">
        <v>1</v>
      </c>
      <c r="D10">
        <v>1.9</v>
      </c>
      <c r="E10">
        <f t="shared" si="0"/>
        <v>1</v>
      </c>
      <c r="F10">
        <f t="shared" si="1"/>
        <v>0.89999999999999991</v>
      </c>
      <c r="G10">
        <f t="shared" si="2"/>
        <v>0.89999999999999991</v>
      </c>
      <c r="H10">
        <f t="shared" si="3"/>
        <v>0.47368421052631576</v>
      </c>
      <c r="I10">
        <f t="shared" si="4"/>
        <v>0.22437673130193903</v>
      </c>
    </row>
    <row r="11" spans="1:9" x14ac:dyDescent="0.35">
      <c r="B11">
        <v>10</v>
      </c>
      <c r="C11">
        <v>7</v>
      </c>
      <c r="D11">
        <v>1.9</v>
      </c>
      <c r="E11">
        <f t="shared" si="0"/>
        <v>0</v>
      </c>
      <c r="F11">
        <f t="shared" si="1"/>
        <v>-5.0999999999999996</v>
      </c>
      <c r="G11">
        <f t="shared" si="2"/>
        <v>0</v>
      </c>
      <c r="H11">
        <f t="shared" si="3"/>
        <v>0</v>
      </c>
      <c r="I11">
        <f t="shared" si="4"/>
        <v>0</v>
      </c>
    </row>
    <row r="12" spans="1:9" x14ac:dyDescent="0.35">
      <c r="A12" t="s">
        <v>4</v>
      </c>
      <c r="B12">
        <f>COUNT(B2:B11)</f>
        <v>10</v>
      </c>
      <c r="D12" t="s">
        <v>5</v>
      </c>
      <c r="E12">
        <f>SUM(E2:E11)</f>
        <v>4</v>
      </c>
      <c r="I12">
        <f>SUM(I2:I11)</f>
        <v>0.62880886426592786</v>
      </c>
    </row>
    <row r="13" spans="1:9" x14ac:dyDescent="0.35">
      <c r="H13" t="s">
        <v>13</v>
      </c>
      <c r="I13">
        <f>I12/B12</f>
        <v>6.2880886426592786E-2</v>
      </c>
    </row>
    <row r="14" spans="1:9" x14ac:dyDescent="0.35">
      <c r="D14" t="s">
        <v>6</v>
      </c>
      <c r="E14">
        <f>(E12/B12)*100</f>
        <v>40</v>
      </c>
      <c r="H14" t="s">
        <v>14</v>
      </c>
      <c r="I14">
        <f>I13*100</f>
        <v>6.2880886426592788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37AD-8DAB-40FF-A89C-A66BF072BC9D}">
  <dimension ref="A1:E14"/>
  <sheetViews>
    <sheetView workbookViewId="0">
      <selection activeCell="H11" sqref="H11"/>
    </sheetView>
  </sheetViews>
  <sheetFormatPr defaultRowHeight="14.5" x14ac:dyDescent="0.35"/>
  <cols>
    <col min="2" max="2" width="9.26953125" bestFit="1" customWidth="1"/>
    <col min="3" max="3" width="16.7265625" bestFit="1" customWidth="1"/>
    <col min="4" max="4" width="17.08984375" bestFit="1" customWidth="1"/>
  </cols>
  <sheetData>
    <row r="1" spans="1:5" x14ac:dyDescent="0.35">
      <c r="B1" t="s">
        <v>0</v>
      </c>
      <c r="C1" t="s">
        <v>8</v>
      </c>
      <c r="D1" t="s">
        <v>2</v>
      </c>
      <c r="E1" t="s">
        <v>3</v>
      </c>
    </row>
    <row r="2" spans="1:5" x14ac:dyDescent="0.35">
      <c r="B2">
        <v>1</v>
      </c>
      <c r="C2">
        <v>90</v>
      </c>
      <c r="D2">
        <v>1.9</v>
      </c>
    </row>
    <row r="3" spans="1:5" x14ac:dyDescent="0.35">
      <c r="B3">
        <v>2</v>
      </c>
      <c r="C3">
        <v>70</v>
      </c>
      <c r="D3">
        <v>1.9</v>
      </c>
    </row>
    <row r="4" spans="1:5" x14ac:dyDescent="0.35">
      <c r="B4">
        <v>3</v>
      </c>
      <c r="C4">
        <v>35</v>
      </c>
      <c r="D4">
        <v>1.9</v>
      </c>
    </row>
    <row r="5" spans="1:5" x14ac:dyDescent="0.35">
      <c r="B5">
        <v>4</v>
      </c>
      <c r="C5">
        <v>200</v>
      </c>
      <c r="D5">
        <v>1.9</v>
      </c>
    </row>
    <row r="6" spans="1:5" x14ac:dyDescent="0.35">
      <c r="B6">
        <v>5</v>
      </c>
      <c r="C6">
        <v>150</v>
      </c>
      <c r="D6">
        <v>1.9</v>
      </c>
    </row>
    <row r="7" spans="1:5" x14ac:dyDescent="0.35">
      <c r="B7">
        <v>6</v>
      </c>
      <c r="C7">
        <v>30</v>
      </c>
      <c r="D7">
        <v>1.9</v>
      </c>
    </row>
    <row r="8" spans="1:5" x14ac:dyDescent="0.35">
      <c r="B8">
        <v>7</v>
      </c>
      <c r="C8">
        <v>40</v>
      </c>
      <c r="D8">
        <v>1.9</v>
      </c>
    </row>
    <row r="9" spans="1:5" x14ac:dyDescent="0.35">
      <c r="B9">
        <v>8</v>
      </c>
      <c r="C9">
        <v>55</v>
      </c>
      <c r="D9">
        <v>1.9</v>
      </c>
    </row>
    <row r="10" spans="1:5" x14ac:dyDescent="0.35">
      <c r="B10">
        <v>9</v>
      </c>
      <c r="C10">
        <v>400</v>
      </c>
      <c r="D10">
        <v>1.9</v>
      </c>
    </row>
    <row r="11" spans="1:5" x14ac:dyDescent="0.35">
      <c r="B11">
        <v>10</v>
      </c>
      <c r="C11">
        <v>25</v>
      </c>
      <c r="D11">
        <v>1.9</v>
      </c>
    </row>
    <row r="12" spans="1:5" x14ac:dyDescent="0.35">
      <c r="A12" t="s">
        <v>4</v>
      </c>
      <c r="B12">
        <f>COUNT(B2:B11)</f>
        <v>10</v>
      </c>
      <c r="D12" t="s">
        <v>5</v>
      </c>
      <c r="E12">
        <f>SUM(E2:E11)</f>
        <v>0</v>
      </c>
    </row>
    <row r="14" spans="1:5" x14ac:dyDescent="0.35">
      <c r="D14" t="s">
        <v>6</v>
      </c>
      <c r="E14">
        <f>(E12/B12)*100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P0_1</vt:lpstr>
      <vt:lpstr>inequality</vt:lpstr>
      <vt:lpstr>Sheet1</vt:lpstr>
      <vt:lpstr>P0</vt:lpstr>
      <vt:lpstr>P2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Muhammad Ayaz</cp:lastModifiedBy>
  <dcterms:created xsi:type="dcterms:W3CDTF">2015-06-05T18:17:20Z</dcterms:created>
  <dcterms:modified xsi:type="dcterms:W3CDTF">2026-06-22T06:44:39Z</dcterms:modified>
</cp:coreProperties>
</file>